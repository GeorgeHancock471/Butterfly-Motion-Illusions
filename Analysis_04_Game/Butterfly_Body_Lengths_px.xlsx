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471\OneDrive - University of Exeter\Documents\GitHub\Butterfly-Motion-Illusions\Analysis_04_Game\"/>
    </mc:Choice>
  </mc:AlternateContent>
  <xr:revisionPtr revIDLastSave="0" documentId="13_ncr:1_{8421819F-17A0-4D09-97DB-8E649B4E0843}" xr6:coauthVersionLast="47" xr6:coauthVersionMax="47" xr10:uidLastSave="{00000000-0000-0000-0000-000000000000}"/>
  <bookViews>
    <workbookView xWindow="648" yWindow="1464" windowWidth="17280" windowHeight="8880" xr2:uid="{A25D9C32-CB9C-439E-A572-37E8632C32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F3" i="1" s="1"/>
  <c r="D4" i="1"/>
  <c r="F4" i="1" s="1"/>
  <c r="D5" i="1"/>
  <c r="F5" i="1" s="1"/>
  <c r="D6" i="1"/>
  <c r="F6" i="1" s="1"/>
  <c r="D2" i="1"/>
  <c r="F2" i="1" s="1"/>
  <c r="G3" i="1" s="1"/>
  <c r="C6" i="1"/>
  <c r="C5" i="1"/>
  <c r="C4" i="1"/>
  <c r="C3" i="1"/>
  <c r="C2" i="1"/>
  <c r="G6" i="1" l="1"/>
  <c r="G5" i="1"/>
  <c r="G4" i="1"/>
  <c r="G2" i="1"/>
  <c r="H2" i="1" s="1"/>
  <c r="H3" i="1" s="1"/>
  <c r="H4" i="1" s="1"/>
  <c r="H5" i="1" s="1"/>
  <c r="H6" i="1" s="1"/>
</calcChain>
</file>

<file path=xl/sharedStrings.xml><?xml version="1.0" encoding="utf-8"?>
<sst xmlns="http://schemas.openxmlformats.org/spreadsheetml/2006/main" count="13" uniqueCount="13">
  <si>
    <t>B.c</t>
  </si>
  <si>
    <t>G.c</t>
  </si>
  <si>
    <t>L.t</t>
  </si>
  <si>
    <t>P.a</t>
  </si>
  <si>
    <t>P.s</t>
  </si>
  <si>
    <t>Px Ratio</t>
  </si>
  <si>
    <t>Mean</t>
  </si>
  <si>
    <t>Butterfly</t>
  </si>
  <si>
    <t>LengthRaw(px)</t>
  </si>
  <si>
    <t>LengthScreen(px)</t>
  </si>
  <si>
    <t>Length(cm)</t>
  </si>
  <si>
    <t>ScreenWidth(px)</t>
  </si>
  <si>
    <t>ScreenWidth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</si>
</sst>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FE4F-92AD-431B-94D3-0B03BA74178F}">
  <dimension ref="A1:H6"/>
  <sheetViews>
    <sheetView tabSelected="1" zoomScale="70" zoomScaleNormal="70" workbookViewId="0">
      <selection activeCell="G10" sqref="G10"/>
    </sheetView>
  </sheetViews>
  <sheetFormatPr defaultRowHeight="14.4" x14ac:dyDescent="0.3"/>
  <cols>
    <col min="2" max="2" width="13.77734375" bestFit="1" customWidth="1"/>
    <col min="3" max="3" width="13" bestFit="1" customWidth="1"/>
    <col min="4" max="4" width="15.5546875" bestFit="1" customWidth="1"/>
    <col min="5" max="5" width="16.5546875" bestFit="1" customWidth="1"/>
    <col min="6" max="6" width="12" bestFit="1" customWidth="1"/>
    <col min="7" max="7" width="10.77734375" bestFit="1" customWidth="1"/>
  </cols>
  <sheetData>
    <row r="1" spans="1:8" x14ac:dyDescent="0.3">
      <c r="A1" s="1" t="s">
        <v>7</v>
      </c>
      <c r="B1" s="1" t="s">
        <v>8</v>
      </c>
      <c r="C1" s="1" t="s">
        <v>9</v>
      </c>
      <c r="D1" s="1" t="s">
        <v>11</v>
      </c>
      <c r="E1" s="1" t="s">
        <v>12</v>
      </c>
      <c r="F1" s="1" t="s">
        <v>5</v>
      </c>
      <c r="G1" s="1" t="s">
        <v>10</v>
      </c>
      <c r="H1" s="1" t="s">
        <v>6</v>
      </c>
    </row>
    <row r="2" spans="1:8" x14ac:dyDescent="0.3">
      <c r="A2" t="s">
        <v>0</v>
      </c>
      <c r="B2">
        <v>41</v>
      </c>
      <c r="C2">
        <f>B2*1.5</f>
        <v>61.5</v>
      </c>
      <c r="D2">
        <f>1280*1.5</f>
        <v>1920</v>
      </c>
      <c r="E2">
        <v>70</v>
      </c>
      <c r="F2">
        <f>E2/D2</f>
        <v>3.6458333333333336E-2</v>
      </c>
      <c r="G2" s="2">
        <f>C2*$F$2</f>
        <v>2.2421875</v>
      </c>
      <c r="H2" s="2">
        <f>AVERAGE(G2:G6)</f>
        <v>2.4171874999999998</v>
      </c>
    </row>
    <row r="3" spans="1:8" x14ac:dyDescent="0.3">
      <c r="A3" t="s">
        <v>1</v>
      </c>
      <c r="B3">
        <v>40</v>
      </c>
      <c r="C3">
        <f>B3*1.5</f>
        <v>60</v>
      </c>
      <c r="D3">
        <f t="shared" ref="D3:D6" si="0">1280*1.5</f>
        <v>1920</v>
      </c>
      <c r="E3">
        <v>70</v>
      </c>
      <c r="F3">
        <f t="shared" ref="F3:F6" si="1">E3/D3</f>
        <v>3.6458333333333336E-2</v>
      </c>
      <c r="G3" s="2">
        <f>C3*$F$2</f>
        <v>2.1875</v>
      </c>
      <c r="H3" s="2">
        <f>H2</f>
        <v>2.4171874999999998</v>
      </c>
    </row>
    <row r="4" spans="1:8" x14ac:dyDescent="0.3">
      <c r="A4" t="s">
        <v>2</v>
      </c>
      <c r="B4">
        <v>46</v>
      </c>
      <c r="C4">
        <f>B4*1.5</f>
        <v>69</v>
      </c>
      <c r="D4">
        <f t="shared" si="0"/>
        <v>1920</v>
      </c>
      <c r="E4">
        <v>70</v>
      </c>
      <c r="F4">
        <f t="shared" si="1"/>
        <v>3.6458333333333336E-2</v>
      </c>
      <c r="G4" s="2">
        <f>C4*$F$2</f>
        <v>2.515625</v>
      </c>
      <c r="H4" s="2">
        <f t="shared" ref="H4:H6" si="2">H3</f>
        <v>2.4171874999999998</v>
      </c>
    </row>
    <row r="5" spans="1:8" x14ac:dyDescent="0.3">
      <c r="A5" t="s">
        <v>3</v>
      </c>
      <c r="B5">
        <v>38</v>
      </c>
      <c r="C5">
        <f>B5*1.5</f>
        <v>57</v>
      </c>
      <c r="D5">
        <f t="shared" si="0"/>
        <v>1920</v>
      </c>
      <c r="E5">
        <v>70</v>
      </c>
      <c r="F5">
        <f t="shared" si="1"/>
        <v>3.6458333333333336E-2</v>
      </c>
      <c r="G5" s="2">
        <f>C5*$F$2</f>
        <v>2.078125</v>
      </c>
      <c r="H5" s="2">
        <f t="shared" si="2"/>
        <v>2.4171874999999998</v>
      </c>
    </row>
    <row r="6" spans="1:8" x14ac:dyDescent="0.3">
      <c r="A6" t="s">
        <v>4</v>
      </c>
      <c r="B6">
        <v>56</v>
      </c>
      <c r="C6">
        <f>B6*1.5</f>
        <v>84</v>
      </c>
      <c r="D6">
        <f t="shared" si="0"/>
        <v>1920</v>
      </c>
      <c r="E6">
        <v>70</v>
      </c>
      <c r="F6">
        <f t="shared" si="1"/>
        <v>3.6458333333333336E-2</v>
      </c>
      <c r="G6" s="2">
        <f>C6*$F$2</f>
        <v>3.0625</v>
      </c>
      <c r="H6" s="2">
        <f t="shared" si="2"/>
        <v>2.4171874999999998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George</dc:creator>
  <cp:lastModifiedBy>Hancock, George</cp:lastModifiedBy>
  <dcterms:created xsi:type="dcterms:W3CDTF">2026-02-26T13:49:57Z</dcterms:created>
  <dcterms:modified xsi:type="dcterms:W3CDTF">2026-03-04T11:00:20Z</dcterms:modified>
</cp:coreProperties>
</file>